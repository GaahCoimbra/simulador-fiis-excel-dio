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bc07fa8ad7a92c/Desktop/Gabriel/"/>
    </mc:Choice>
  </mc:AlternateContent>
  <xr:revisionPtr revIDLastSave="835" documentId="8_{B2122BC5-811F-42DC-BDD6-7D3C4BB1AA5C}" xr6:coauthVersionLast="47" xr6:coauthVersionMax="47" xr10:uidLastSave="{90CECA72-E7BB-4813-8388-84A511290C65}"/>
  <bookViews>
    <workbookView xWindow="-120" yWindow="-120" windowWidth="24240" windowHeight="13140" xr2:uid="{B0745980-E433-49B0-90DF-A8ED2D546B9D}"/>
  </bookViews>
  <sheets>
    <sheet name="Planilha1" sheetId="1" r:id="rId1"/>
    <sheet name="Planilha2" sheetId="2" state="hidden" r:id="rId2"/>
  </sheets>
  <definedNames>
    <definedName name="aporte_mensal_calc_rapida">Planilha1!$E$5</definedName>
    <definedName name="aporte_mensal_carteira">Planilha1!$E$15</definedName>
    <definedName name="aporte_mensal_perfil_invest">Planilha1!$E$28</definedName>
    <definedName name="perfil_invest">Planilha1!$E$27</definedName>
    <definedName name="recomendacao_aporte">Planilha1!$E$16</definedName>
    <definedName name="rendimento_medio_carteira">Planilha1!$E$14</definedName>
    <definedName name="rendimento_mensal_calc_rapida">Planilha1!$E$7</definedName>
    <definedName name="salario">Planilha1!$E$13</definedName>
    <definedName name="tempo_de_invest_calc_rapida">Planilha1!$E$6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4" i="1" l="1"/>
  <c r="D23" i="1"/>
  <c r="D22" i="1"/>
  <c r="D21" i="1"/>
  <c r="D20" i="1"/>
  <c r="E8" i="1"/>
  <c r="E9" i="1" s="1"/>
  <c r="E16" i="1" l="1"/>
  <c r="D31" i="1" l="1"/>
  <c r="D32" i="1"/>
  <c r="D33" i="1"/>
  <c r="D34" i="1"/>
  <c r="D35" i="1"/>
  <c r="D30" i="1"/>
  <c r="G5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E24" i="1"/>
  <c r="E23" i="1"/>
  <c r="E22" i="1"/>
  <c r="E21" i="1"/>
  <c r="E20" i="1"/>
  <c r="E33" i="1" l="1"/>
  <c r="E35" i="1"/>
  <c r="D36" i="1"/>
  <c r="E31" i="1"/>
  <c r="E30" i="1"/>
  <c r="E34" i="1"/>
  <c r="E32" i="1"/>
  <c r="E36" i="1" l="1"/>
</calcChain>
</file>

<file path=xl/sharedStrings.xml><?xml version="1.0" encoding="utf-8"?>
<sst xmlns="http://schemas.openxmlformats.org/spreadsheetml/2006/main" count="74" uniqueCount="39">
  <si>
    <t>Quanto investir por mês?</t>
  </si>
  <si>
    <t>Por quantos anos?</t>
  </si>
  <si>
    <t>Taxa de rendimento mensal</t>
  </si>
  <si>
    <t>Dividendos mensais</t>
  </si>
  <si>
    <t>Patrimonio acumulado</t>
  </si>
  <si>
    <t>Salario</t>
  </si>
  <si>
    <t>10 anos</t>
  </si>
  <si>
    <t>30 anos</t>
  </si>
  <si>
    <t>20 anos</t>
  </si>
  <si>
    <t>40 anos</t>
  </si>
  <si>
    <t>50 anos</t>
  </si>
  <si>
    <t>PERFIL</t>
  </si>
  <si>
    <t>Agressivo</t>
  </si>
  <si>
    <t>Moderado</t>
  </si>
  <si>
    <t>Conservador</t>
  </si>
  <si>
    <t>Dividendos</t>
  </si>
  <si>
    <t>Acumulo</t>
  </si>
  <si>
    <t>Tipos de Fills</t>
  </si>
  <si>
    <t>Valores</t>
  </si>
  <si>
    <t>Papel</t>
  </si>
  <si>
    <t>Tijolo</t>
  </si>
  <si>
    <t>Hibrido</t>
  </si>
  <si>
    <t>FoFs</t>
  </si>
  <si>
    <t>Desenvolvimento</t>
  </si>
  <si>
    <t>Hotelarias</t>
  </si>
  <si>
    <t>Perfil</t>
  </si>
  <si>
    <t>% sugerido</t>
  </si>
  <si>
    <t>Chave composta</t>
  </si>
  <si>
    <t>Conservador-Papel</t>
  </si>
  <si>
    <t>TOTAL</t>
  </si>
  <si>
    <t>CONFIGURAÇÕES DA CARTEIRA</t>
  </si>
  <si>
    <t>Cenarios da carteira</t>
  </si>
  <si>
    <t>% Sugerida</t>
  </si>
  <si>
    <t>Valor do aporte mensal:</t>
  </si>
  <si>
    <t>Rendimento médio da carteira</t>
  </si>
  <si>
    <t>Calculadora rápida</t>
  </si>
  <si>
    <t>Recomendação de aporte de acordo com salario</t>
  </si>
  <si>
    <t>Aporte mensal</t>
  </si>
  <si>
    <t>Interativas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</si>
</sst>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BF7FF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theme="2" tint="-0.24994659260841701"/>
      </bottom>
      <diagonal/>
    </border>
    <border>
      <left/>
      <right style="medium">
        <color indexed="64"/>
      </right>
      <top/>
      <bottom style="thin">
        <color theme="2" tint="-0.24994659260841701"/>
      </bottom>
      <diagonal/>
    </border>
    <border>
      <left style="medium">
        <color indexed="64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/>
      <top style="thin">
        <color theme="2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/>
      <right/>
      <top/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2" tint="-0.24994659260841701"/>
      </bottom>
      <diagonal/>
    </border>
    <border>
      <left/>
      <right/>
      <top style="medium">
        <color indexed="64"/>
      </top>
      <bottom style="thin">
        <color theme="2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2" tint="-0.24994659260841701"/>
      </bottom>
      <diagonal/>
    </border>
    <border>
      <left/>
      <right style="medium">
        <color indexed="64"/>
      </right>
      <top style="thin">
        <color theme="2" tint="-0.2499465926084170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164" fontId="4" fillId="4" borderId="8" xfId="0" applyNumberFormat="1" applyFont="1" applyFill="1" applyBorder="1"/>
    <xf numFmtId="164" fontId="4" fillId="4" borderId="10" xfId="0" applyNumberFormat="1" applyFont="1" applyFill="1" applyBorder="1"/>
    <xf numFmtId="164" fontId="0" fillId="4" borderId="12" xfId="0" applyNumberFormat="1" applyFill="1" applyBorder="1" applyAlignment="1">
      <alignment horizontal="left"/>
    </xf>
    <xf numFmtId="164" fontId="0" fillId="4" borderId="13" xfId="0" applyNumberFormat="1" applyFill="1" applyBorder="1" applyAlignment="1">
      <alignment horizontal="left"/>
    </xf>
    <xf numFmtId="0" fontId="0" fillId="0" borderId="4" xfId="0" applyBorder="1"/>
    <xf numFmtId="0" fontId="0" fillId="0" borderId="2" xfId="0" applyBorder="1"/>
    <xf numFmtId="9" fontId="0" fillId="0" borderId="0" xfId="0" applyNumberFormat="1"/>
    <xf numFmtId="9" fontId="0" fillId="0" borderId="4" xfId="0" applyNumberFormat="1" applyBorder="1"/>
    <xf numFmtId="9" fontId="0" fillId="0" borderId="2" xfId="0" applyNumberFormat="1" applyBorder="1"/>
    <xf numFmtId="0" fontId="2" fillId="2" borderId="0" xfId="2"/>
    <xf numFmtId="9" fontId="2" fillId="2" borderId="0" xfId="2" applyNumberFormat="1"/>
    <xf numFmtId="0" fontId="4" fillId="3" borderId="12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9" fontId="5" fillId="6" borderId="13" xfId="0" applyNumberFormat="1" applyFon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5" fillId="6" borderId="10" xfId="0" applyNumberFormat="1" applyFont="1" applyFill="1" applyBorder="1" applyAlignment="1">
      <alignment horizontal="center"/>
    </xf>
    <xf numFmtId="164" fontId="0" fillId="4" borderId="8" xfId="0" applyNumberFormat="1" applyFill="1" applyBorder="1" applyAlignment="1">
      <alignment horizontal="center"/>
    </xf>
    <xf numFmtId="164" fontId="0" fillId="4" borderId="10" xfId="0" applyNumberFormat="1" applyFill="1" applyBorder="1" applyAlignment="1">
      <alignment horizontal="center"/>
    </xf>
    <xf numFmtId="164" fontId="0" fillId="7" borderId="6" xfId="0" applyNumberFormat="1" applyFill="1" applyBorder="1" applyProtection="1">
      <protection locked="0"/>
    </xf>
    <xf numFmtId="0" fontId="0" fillId="7" borderId="8" xfId="0" applyFill="1" applyBorder="1" applyProtection="1">
      <protection locked="0"/>
    </xf>
    <xf numFmtId="10" fontId="0" fillId="7" borderId="8" xfId="0" applyNumberFormat="1" applyFill="1" applyBorder="1" applyProtection="1">
      <protection locked="0"/>
    </xf>
    <xf numFmtId="164" fontId="0" fillId="7" borderId="6" xfId="0" applyNumberFormat="1" applyFill="1" applyBorder="1" applyAlignment="1" applyProtection="1">
      <alignment horizontal="center"/>
      <protection locked="0"/>
    </xf>
    <xf numFmtId="164" fontId="0" fillId="7" borderId="8" xfId="0" applyNumberForma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65" fontId="0" fillId="7" borderId="8" xfId="1" applyNumberFormat="1" applyFont="1" applyFill="1" applyBorder="1" applyAlignment="1" applyProtection="1">
      <alignment horizontal="center"/>
      <protection locked="0"/>
    </xf>
    <xf numFmtId="164" fontId="0" fillId="7" borderId="17" xfId="1" applyNumberFormat="1" applyFont="1" applyFill="1" applyBorder="1" applyAlignment="1" applyProtection="1">
      <alignment horizontal="center"/>
      <protection locked="0"/>
    </xf>
    <xf numFmtId="0" fontId="6" fillId="3" borderId="16" xfId="0" applyFont="1" applyFill="1" applyBorder="1" applyAlignment="1">
      <alignment horizontal="center"/>
    </xf>
    <xf numFmtId="0" fontId="6" fillId="3" borderId="16" xfId="0" applyFont="1" applyFill="1" applyBorder="1" applyAlignment="1" applyProtection="1">
      <alignment horizontal="right"/>
      <protection locked="0"/>
    </xf>
    <xf numFmtId="0" fontId="6" fillId="3" borderId="3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4" fillId="4" borderId="7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7" xfId="0" applyFill="1" applyBorder="1" applyAlignment="1">
      <alignment horizontal="center" wrapText="1"/>
    </xf>
    <xf numFmtId="0" fontId="0" fillId="4" borderId="12" xfId="0" applyFill="1" applyBorder="1" applyAlignment="1">
      <alignment horizontal="center" wrapText="1"/>
    </xf>
    <xf numFmtId="0" fontId="0" fillId="4" borderId="7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EBF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104776</xdr:colOff>
      <xdr:row>1</xdr:row>
      <xdr:rowOff>104775</xdr:rowOff>
    </xdr:from>
    <xdr:ext cx="3600449" cy="676275"/>
    <xdr:sp macro="" textlink="">
      <xdr:nvSpPr>
        <xdr:cNvPr id="3" name="CaixaDeTexto 1">
          <a:extLst>
            <a:ext uri="{FF2B5EF4-FFF2-40B4-BE49-F238E27FC236}">
              <a16:creationId xmlns:a16="http://schemas.microsoft.com/office/drawing/2014/main" id="{BC7E7021-22F7-9714-239A-70E709D35C5A}"/>
            </a:ext>
          </a:extLst>
        </xdr:cNvPr>
        <xdr:cNvSpPr txBox="1">
          <a:spLocks noChangeAspect="1"/>
        </xdr:cNvSpPr>
      </xdr:nvSpPr>
      <xdr:spPr>
        <a:xfrm>
          <a:off x="409576" y="295275"/>
          <a:ext cx="3600449" cy="67627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lvl="1" algn="l"/>
          <a:r>
            <a:rPr lang="pt-BR" sz="1800" b="1">
              <a:solidFill>
                <a:schemeClr val="bg1"/>
              </a:solidFill>
              <a:latin typeface="Castellar" panose="020A0402060406010301" pitchFamily="18" charset="0"/>
            </a:rPr>
            <a:t> Simulador de Fills</a:t>
          </a:r>
        </a:p>
      </xdr:txBody>
    </xdr:sp>
    <xdr:clientData/>
  </xdr:oneCellAnchor>
  <xdr:twoCellAnchor editAs="oneCell">
    <xdr:from>
      <xdr:col>1</xdr:col>
      <xdr:colOff>104775</xdr:colOff>
      <xdr:row>1</xdr:row>
      <xdr:rowOff>104775</xdr:rowOff>
    </xdr:from>
    <xdr:to>
      <xdr:col>1</xdr:col>
      <xdr:colOff>726410</xdr:colOff>
      <xdr:row>2</xdr:row>
      <xdr:rowOff>57150</xdr:rowOff>
    </xdr:to>
    <xdr:pic>
      <xdr:nvPicPr>
        <xdr:cNvPr id="4" name="Gráfico 3" descr="Banco estrutura de tópicos">
          <a:extLst>
            <a:ext uri="{FF2B5EF4-FFF2-40B4-BE49-F238E27FC236}">
              <a16:creationId xmlns:a16="http://schemas.microsoft.com/office/drawing/2014/main" id="{B5004B31-AE2A-FE08-4383-397D1111D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9575" y="295275"/>
          <a:ext cx="621635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2C7F-62CB-44C1-BBC1-44AEB788E4C4}">
  <dimension ref="A1:P37"/>
  <sheetViews>
    <sheetView showGridLines="0" showRowColHeaders="0" tabSelected="1" zoomScaleNormal="100" workbookViewId="0">
      <selection activeCell="E30" sqref="E30"/>
    </sheetView>
  </sheetViews>
  <sheetFormatPr defaultColWidth="0" defaultRowHeight="15" zeroHeight="1" x14ac:dyDescent="0.25"/>
  <cols>
    <col min="1" max="1" width="4.5703125" customWidth="1"/>
    <col min="2" max="2" width="18" customWidth="1"/>
    <col min="3" max="3" width="6" customWidth="1"/>
    <col min="4" max="4" width="19" customWidth="1"/>
    <col min="5" max="5" width="14.85546875" customWidth="1"/>
    <col min="6" max="6" width="8.5703125" style="28" customWidth="1"/>
    <col min="7" max="16" width="0" hidden="1" customWidth="1"/>
    <col min="17" max="16384" width="9.140625" hidden="1"/>
  </cols>
  <sheetData>
    <row r="1" spans="2:5" x14ac:dyDescent="0.25"/>
    <row r="2" spans="2:5" ht="58.5" customHeight="1" x14ac:dyDescent="0.25"/>
    <row r="3" spans="2:5" ht="15.75" thickBot="1" x14ac:dyDescent="0.3"/>
    <row r="4" spans="2:5" ht="18.75" x14ac:dyDescent="0.3">
      <c r="B4" s="38" t="s">
        <v>35</v>
      </c>
      <c r="C4" s="39"/>
      <c r="D4" s="39"/>
      <c r="E4" s="33" t="s">
        <v>38</v>
      </c>
    </row>
    <row r="5" spans="2:5" ht="15.75" customHeight="1" x14ac:dyDescent="0.25">
      <c r="B5" s="40" t="s">
        <v>0</v>
      </c>
      <c r="C5" s="41"/>
      <c r="D5" s="41"/>
      <c r="E5" s="23">
        <v>500</v>
      </c>
    </row>
    <row r="6" spans="2:5" x14ac:dyDescent="0.25">
      <c r="B6" s="36" t="s">
        <v>1</v>
      </c>
      <c r="C6" s="37"/>
      <c r="D6" s="37"/>
      <c r="E6" s="24">
        <v>0.6</v>
      </c>
    </row>
    <row r="7" spans="2:5" x14ac:dyDescent="0.25">
      <c r="B7" s="36" t="s">
        <v>2</v>
      </c>
      <c r="C7" s="37"/>
      <c r="D7" s="37"/>
      <c r="E7" s="25">
        <v>0.01</v>
      </c>
    </row>
    <row r="8" spans="2:5" x14ac:dyDescent="0.25">
      <c r="B8" s="42" t="s">
        <v>4</v>
      </c>
      <c r="C8" s="43"/>
      <c r="D8" s="43"/>
      <c r="E8" s="1">
        <f>FV(E7,E6*12,E5*-1)</f>
        <v>3713.5548416691313</v>
      </c>
    </row>
    <row r="9" spans="2:5" ht="15.75" thickBot="1" x14ac:dyDescent="0.3">
      <c r="B9" s="34" t="s">
        <v>3</v>
      </c>
      <c r="C9" s="35"/>
      <c r="D9" s="35"/>
      <c r="E9" s="2">
        <f>E8*E7</f>
        <v>37.135548416691314</v>
      </c>
    </row>
    <row r="10" spans="2:5" x14ac:dyDescent="0.25"/>
    <row r="11" spans="2:5" ht="15.75" thickBot="1" x14ac:dyDescent="0.3"/>
    <row r="12" spans="2:5" ht="18.75" x14ac:dyDescent="0.3">
      <c r="B12" s="38" t="s">
        <v>30</v>
      </c>
      <c r="C12" s="39"/>
      <c r="D12" s="39"/>
      <c r="E12" s="39"/>
    </row>
    <row r="13" spans="2:5" x14ac:dyDescent="0.25">
      <c r="B13" s="40" t="s">
        <v>5</v>
      </c>
      <c r="C13" s="41"/>
      <c r="D13" s="41"/>
      <c r="E13" s="26">
        <v>1600</v>
      </c>
    </row>
    <row r="14" spans="2:5" x14ac:dyDescent="0.25">
      <c r="B14" s="36" t="s">
        <v>34</v>
      </c>
      <c r="C14" s="37"/>
      <c r="D14" s="37"/>
      <c r="E14" s="29">
        <v>0.01</v>
      </c>
    </row>
    <row r="15" spans="2:5" x14ac:dyDescent="0.25">
      <c r="B15" s="36" t="s">
        <v>37</v>
      </c>
      <c r="C15" s="37"/>
      <c r="D15" s="37"/>
      <c r="E15" s="30">
        <v>300</v>
      </c>
    </row>
    <row r="16" spans="2:5" ht="15.75" thickBot="1" x14ac:dyDescent="0.3">
      <c r="B16" s="46" t="s">
        <v>36</v>
      </c>
      <c r="C16" s="47"/>
      <c r="D16" s="47"/>
      <c r="E16" s="22">
        <f>30%*E13</f>
        <v>480</v>
      </c>
    </row>
    <row r="17" spans="2:5" x14ac:dyDescent="0.25"/>
    <row r="18" spans="2:5" ht="15.75" thickBot="1" x14ac:dyDescent="0.3"/>
    <row r="19" spans="2:5" ht="18.75" x14ac:dyDescent="0.3">
      <c r="B19" s="44" t="s">
        <v>31</v>
      </c>
      <c r="C19" s="45"/>
      <c r="D19" s="14" t="s">
        <v>16</v>
      </c>
      <c r="E19" s="31" t="s">
        <v>15</v>
      </c>
    </row>
    <row r="20" spans="2:5" x14ac:dyDescent="0.25">
      <c r="B20" s="48" t="s">
        <v>6</v>
      </c>
      <c r="C20" s="49"/>
      <c r="D20" s="3">
        <f>FV($E$14,10*12,E$15*-1)</f>
        <v>69011.6068372101</v>
      </c>
      <c r="E20" s="21">
        <f>$D20*$E$14</f>
        <v>690.11606837210104</v>
      </c>
    </row>
    <row r="21" spans="2:5" x14ac:dyDescent="0.25">
      <c r="B21" s="50" t="s">
        <v>8</v>
      </c>
      <c r="C21" s="51"/>
      <c r="D21" s="3">
        <f>FV($E$14,20*12,E$15*-1)</f>
        <v>296776.60961620888</v>
      </c>
      <c r="E21" s="21">
        <f>$D21*$E$14</f>
        <v>2967.7660961620891</v>
      </c>
    </row>
    <row r="22" spans="2:5" x14ac:dyDescent="0.25">
      <c r="B22" s="50" t="s">
        <v>7</v>
      </c>
      <c r="C22" s="51"/>
      <c r="D22" s="3">
        <f>FV($E$14,30*12,E$15*-1)</f>
        <v>1048489.2398305519</v>
      </c>
      <c r="E22" s="21">
        <f>$D22*$E$14</f>
        <v>10484.892398305519</v>
      </c>
    </row>
    <row r="23" spans="2:5" x14ac:dyDescent="0.25">
      <c r="B23" s="50" t="s">
        <v>9</v>
      </c>
      <c r="C23" s="51"/>
      <c r="D23" s="3">
        <f>FV($E$14,40*12,E$15*-1)</f>
        <v>3529431.7530754735</v>
      </c>
      <c r="E23" s="21">
        <f>$D23*$E$14</f>
        <v>35294.317530754735</v>
      </c>
    </row>
    <row r="24" spans="2:5" ht="15.75" thickBot="1" x14ac:dyDescent="0.3">
      <c r="B24" s="46" t="s">
        <v>10</v>
      </c>
      <c r="C24" s="47"/>
      <c r="D24" s="4">
        <f>FV($E$14,50*12,E$15*-1)</f>
        <v>11717501.909979675</v>
      </c>
      <c r="E24" s="22">
        <f>$D24*$E$14</f>
        <v>117175.01909979676</v>
      </c>
    </row>
    <row r="25" spans="2:5" x14ac:dyDescent="0.25"/>
    <row r="26" spans="2:5" ht="15.75" thickBot="1" x14ac:dyDescent="0.3"/>
    <row r="27" spans="2:5" ht="18.75" x14ac:dyDescent="0.3">
      <c r="B27" s="44" t="s">
        <v>11</v>
      </c>
      <c r="C27" s="45"/>
      <c r="D27" s="45"/>
      <c r="E27" s="32" t="s">
        <v>14</v>
      </c>
    </row>
    <row r="28" spans="2:5" x14ac:dyDescent="0.25">
      <c r="B28" s="52" t="s">
        <v>33</v>
      </c>
      <c r="C28" s="53"/>
      <c r="D28" s="53"/>
      <c r="E28" s="27">
        <v>300</v>
      </c>
    </row>
    <row r="29" spans="2:5" x14ac:dyDescent="0.25">
      <c r="B29" s="54" t="s">
        <v>17</v>
      </c>
      <c r="C29" s="55"/>
      <c r="D29" s="12" t="s">
        <v>32</v>
      </c>
      <c r="E29" s="13" t="s">
        <v>18</v>
      </c>
    </row>
    <row r="30" spans="2:5" x14ac:dyDescent="0.25">
      <c r="B30" s="36" t="s">
        <v>19</v>
      </c>
      <c r="C30" s="37"/>
      <c r="D30" s="17">
        <f>VLOOKUP($E$27&amp;"-"&amp;B30,Planilha2!A:D,4,)</f>
        <v>0.4</v>
      </c>
      <c r="E30" s="19">
        <f t="shared" ref="E30:E35" si="0">$E$28*$D30</f>
        <v>120</v>
      </c>
    </row>
    <row r="31" spans="2:5" x14ac:dyDescent="0.25">
      <c r="B31" s="36" t="s">
        <v>20</v>
      </c>
      <c r="C31" s="37"/>
      <c r="D31" s="17">
        <f>VLOOKUP($E$27&amp;"-"&amp;B31,Planilha2!A:D,4,)</f>
        <v>0.1</v>
      </c>
      <c r="E31" s="19">
        <f t="shared" si="0"/>
        <v>30</v>
      </c>
    </row>
    <row r="32" spans="2:5" x14ac:dyDescent="0.25">
      <c r="B32" s="36" t="s">
        <v>21</v>
      </c>
      <c r="C32" s="37"/>
      <c r="D32" s="17">
        <f>VLOOKUP($E$27&amp;"-"&amp;B32,Planilha2!A:D,4,)</f>
        <v>0.2</v>
      </c>
      <c r="E32" s="19">
        <f t="shared" si="0"/>
        <v>60</v>
      </c>
    </row>
    <row r="33" spans="2:5" x14ac:dyDescent="0.25">
      <c r="B33" s="36" t="s">
        <v>22</v>
      </c>
      <c r="C33" s="37"/>
      <c r="D33" s="17">
        <f>VLOOKUP($E$27&amp;"-"&amp;B33,Planilha2!A:D,4,)</f>
        <v>0.3</v>
      </c>
      <c r="E33" s="19">
        <f t="shared" si="0"/>
        <v>90</v>
      </c>
    </row>
    <row r="34" spans="2:5" x14ac:dyDescent="0.25">
      <c r="B34" s="36" t="s">
        <v>23</v>
      </c>
      <c r="C34" s="37"/>
      <c r="D34" s="17">
        <f>VLOOKUP($E$27&amp;"-"&amp;B34,Planilha2!A:D,4,)</f>
        <v>0</v>
      </c>
      <c r="E34" s="19">
        <f t="shared" si="0"/>
        <v>0</v>
      </c>
    </row>
    <row r="35" spans="2:5" x14ac:dyDescent="0.25">
      <c r="B35" s="36" t="s">
        <v>24</v>
      </c>
      <c r="C35" s="37"/>
      <c r="D35" s="17">
        <f>VLOOKUP($E$27&amp;"-"&amp;B35,Planilha2!A:D,4,)</f>
        <v>0</v>
      </c>
      <c r="E35" s="19">
        <f t="shared" si="0"/>
        <v>0</v>
      </c>
    </row>
    <row r="36" spans="2:5" ht="15.75" thickBot="1" x14ac:dyDescent="0.3">
      <c r="B36" s="15" t="s">
        <v>29</v>
      </c>
      <c r="C36" s="16"/>
      <c r="D36" s="18">
        <f>SUM(D30:D35)</f>
        <v>1</v>
      </c>
      <c r="E36" s="20">
        <f>SUM(E30:E35)</f>
        <v>300</v>
      </c>
    </row>
    <row r="37" spans="2:5" x14ac:dyDescent="0.25"/>
  </sheetData>
  <sheetProtection sheet="1" objects="1" scenarios="1"/>
  <mergeCells count="26">
    <mergeCell ref="B30:C30"/>
    <mergeCell ref="B28:D28"/>
    <mergeCell ref="B29:C29"/>
    <mergeCell ref="B27:D27"/>
    <mergeCell ref="B13:D13"/>
    <mergeCell ref="B16:D16"/>
    <mergeCell ref="B20:C20"/>
    <mergeCell ref="B19:C19"/>
    <mergeCell ref="B14:D14"/>
    <mergeCell ref="B24:C24"/>
    <mergeCell ref="B23:C23"/>
    <mergeCell ref="B22:C22"/>
    <mergeCell ref="B21:C21"/>
    <mergeCell ref="B31:C31"/>
    <mergeCell ref="B32:C32"/>
    <mergeCell ref="B33:C33"/>
    <mergeCell ref="B34:C34"/>
    <mergeCell ref="B35:C35"/>
    <mergeCell ref="B9:D9"/>
    <mergeCell ref="B15:D15"/>
    <mergeCell ref="B4:D4"/>
    <mergeCell ref="B5:D5"/>
    <mergeCell ref="B6:D6"/>
    <mergeCell ref="B7:D7"/>
    <mergeCell ref="B8:D8"/>
    <mergeCell ref="B12:E12"/>
  </mergeCells>
  <dataValidations count="1">
    <dataValidation type="list" allowBlank="1" showInputMessage="1" showErrorMessage="1" promptTitle="Perfil do investidor" prompt="Insira aqui qual dos perfils de investimento você mais se encaixa" sqref="E27" xr:uid="{F9F57F84-485D-43D8-8735-C7E8ADDBB40C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BD42-3838-4A3F-8F6A-42C8A8AD1D25}">
  <dimension ref="A2:G20"/>
  <sheetViews>
    <sheetView workbookViewId="0">
      <selection activeCell="F7" sqref="F7"/>
    </sheetView>
  </sheetViews>
  <sheetFormatPr defaultRowHeight="15" x14ac:dyDescent="0.25"/>
  <cols>
    <col min="1" max="1" width="28.42578125" bestFit="1" customWidth="1"/>
    <col min="2" max="2" width="12.140625" bestFit="1" customWidth="1"/>
    <col min="3" max="3" width="16.140625" bestFit="1" customWidth="1"/>
    <col min="4" max="4" width="10.7109375" bestFit="1" customWidth="1"/>
    <col min="6" max="6" width="18.140625" bestFit="1" customWidth="1"/>
    <col min="7" max="7" width="8.42578125" bestFit="1" customWidth="1"/>
  </cols>
  <sheetData>
    <row r="2" spans="1:7" x14ac:dyDescent="0.25">
      <c r="A2" t="s">
        <v>27</v>
      </c>
      <c r="B2" t="s">
        <v>25</v>
      </c>
      <c r="C2" t="s">
        <v>17</v>
      </c>
      <c r="D2" t="s">
        <v>26</v>
      </c>
    </row>
    <row r="3" spans="1:7" x14ac:dyDescent="0.25">
      <c r="A3" t="str">
        <f>B3&amp;"-"&amp;C3</f>
        <v>Conservador-Papel</v>
      </c>
      <c r="B3" t="s">
        <v>14</v>
      </c>
      <c r="C3" t="s">
        <v>19</v>
      </c>
      <c r="D3" s="7">
        <v>0.4</v>
      </c>
    </row>
    <row r="4" spans="1:7" x14ac:dyDescent="0.25">
      <c r="A4" t="str">
        <f t="shared" ref="A4:A20" si="0">B4&amp;"-"&amp;C4</f>
        <v>Conservador-Tijolo</v>
      </c>
      <c r="B4" t="s">
        <v>14</v>
      </c>
      <c r="C4" t="s">
        <v>20</v>
      </c>
      <c r="D4" s="7">
        <v>0.1</v>
      </c>
    </row>
    <row r="5" spans="1:7" x14ac:dyDescent="0.25">
      <c r="A5" t="str">
        <f t="shared" si="0"/>
        <v>Conservador-Hibrido</v>
      </c>
      <c r="B5" t="s">
        <v>14</v>
      </c>
      <c r="C5" t="s">
        <v>21</v>
      </c>
      <c r="D5" s="7">
        <v>0.2</v>
      </c>
      <c r="F5" s="10" t="s">
        <v>28</v>
      </c>
      <c r="G5" s="11">
        <f>VLOOKUP(F5,$A:$D,4,FALSE)</f>
        <v>0.4</v>
      </c>
    </row>
    <row r="6" spans="1:7" x14ac:dyDescent="0.25">
      <c r="A6" t="str">
        <f t="shared" si="0"/>
        <v>Conservador-FoFs</v>
      </c>
      <c r="B6" t="s">
        <v>14</v>
      </c>
      <c r="C6" t="s">
        <v>22</v>
      </c>
      <c r="D6" s="7">
        <v>0.3</v>
      </c>
    </row>
    <row r="7" spans="1:7" x14ac:dyDescent="0.25">
      <c r="A7" t="str">
        <f t="shared" si="0"/>
        <v>Conservador-Desenvolvimento</v>
      </c>
      <c r="B7" t="s">
        <v>14</v>
      </c>
      <c r="C7" t="s">
        <v>23</v>
      </c>
      <c r="D7" s="7">
        <v>0</v>
      </c>
    </row>
    <row r="8" spans="1:7" ht="15.75" thickBot="1" x14ac:dyDescent="0.3">
      <c r="A8" t="str">
        <f t="shared" si="0"/>
        <v>Conservador-Hotelarias</v>
      </c>
      <c r="B8" s="5" t="s">
        <v>14</v>
      </c>
      <c r="C8" s="5" t="s">
        <v>24</v>
      </c>
      <c r="D8" s="8">
        <v>0</v>
      </c>
    </row>
    <row r="9" spans="1:7" x14ac:dyDescent="0.25">
      <c r="A9" t="str">
        <f t="shared" si="0"/>
        <v>Moderado-Papel</v>
      </c>
      <c r="B9" s="6" t="s">
        <v>13</v>
      </c>
      <c r="C9" s="6" t="s">
        <v>19</v>
      </c>
      <c r="D9" s="9">
        <v>0.25</v>
      </c>
    </row>
    <row r="10" spans="1:7" x14ac:dyDescent="0.25">
      <c r="A10" t="str">
        <f t="shared" si="0"/>
        <v>Moderado-Tijolo</v>
      </c>
      <c r="B10" t="s">
        <v>13</v>
      </c>
      <c r="C10" t="s">
        <v>20</v>
      </c>
      <c r="D10" s="7">
        <v>0.3</v>
      </c>
    </row>
    <row r="11" spans="1:7" x14ac:dyDescent="0.25">
      <c r="A11" t="str">
        <f t="shared" si="0"/>
        <v>Moderado-Hibrido</v>
      </c>
      <c r="B11" t="s">
        <v>13</v>
      </c>
      <c r="C11" t="s">
        <v>21</v>
      </c>
      <c r="D11" s="7">
        <v>0.25</v>
      </c>
    </row>
    <row r="12" spans="1:7" x14ac:dyDescent="0.25">
      <c r="A12" t="str">
        <f t="shared" si="0"/>
        <v>Moderado-FoFs</v>
      </c>
      <c r="B12" t="s">
        <v>13</v>
      </c>
      <c r="C12" t="s">
        <v>22</v>
      </c>
      <c r="D12" s="7">
        <v>0.15</v>
      </c>
    </row>
    <row r="13" spans="1:7" x14ac:dyDescent="0.25">
      <c r="A13" t="str">
        <f t="shared" si="0"/>
        <v>Moderado-Desenvolvimento</v>
      </c>
      <c r="B13" t="s">
        <v>13</v>
      </c>
      <c r="C13" t="s">
        <v>23</v>
      </c>
      <c r="D13" s="7">
        <v>0</v>
      </c>
    </row>
    <row r="14" spans="1:7" ht="15.75" thickBot="1" x14ac:dyDescent="0.3">
      <c r="A14" t="str">
        <f t="shared" si="0"/>
        <v>Moderado-Hotelarias</v>
      </c>
      <c r="B14" s="5" t="s">
        <v>13</v>
      </c>
      <c r="C14" s="5" t="s">
        <v>24</v>
      </c>
      <c r="D14" s="8">
        <v>0.05</v>
      </c>
    </row>
    <row r="15" spans="1:7" x14ac:dyDescent="0.25">
      <c r="A15" t="str">
        <f t="shared" si="0"/>
        <v>Agressivo-Papel</v>
      </c>
      <c r="B15" t="s">
        <v>12</v>
      </c>
      <c r="C15" t="s">
        <v>19</v>
      </c>
      <c r="D15" s="7">
        <v>0.2</v>
      </c>
    </row>
    <row r="16" spans="1:7" x14ac:dyDescent="0.25">
      <c r="A16" t="str">
        <f t="shared" si="0"/>
        <v>Agressivo-Tijolo</v>
      </c>
      <c r="B16" t="s">
        <v>12</v>
      </c>
      <c r="C16" t="s">
        <v>20</v>
      </c>
      <c r="D16" s="7">
        <v>0.3</v>
      </c>
    </row>
    <row r="17" spans="1:4" x14ac:dyDescent="0.25">
      <c r="A17" t="str">
        <f t="shared" si="0"/>
        <v>Agressivo-Hibrido</v>
      </c>
      <c r="B17" t="s">
        <v>12</v>
      </c>
      <c r="C17" t="s">
        <v>21</v>
      </c>
      <c r="D17" s="7">
        <v>0.15</v>
      </c>
    </row>
    <row r="18" spans="1:4" x14ac:dyDescent="0.25">
      <c r="A18" t="str">
        <f t="shared" si="0"/>
        <v>Agressivo-FoFs</v>
      </c>
      <c r="B18" t="s">
        <v>12</v>
      </c>
      <c r="C18" t="s">
        <v>22</v>
      </c>
      <c r="D18" s="7">
        <v>0.05</v>
      </c>
    </row>
    <row r="19" spans="1:4" x14ac:dyDescent="0.25">
      <c r="A19" t="str">
        <f t="shared" si="0"/>
        <v>Agressivo-Desenvolvimento</v>
      </c>
      <c r="B19" t="s">
        <v>12</v>
      </c>
      <c r="C19" t="s">
        <v>23</v>
      </c>
      <c r="D19" s="7">
        <v>0.2</v>
      </c>
    </row>
    <row r="20" spans="1:4" x14ac:dyDescent="0.25">
      <c r="A20" t="str">
        <f t="shared" si="0"/>
        <v>Agressivo-Hotelarias</v>
      </c>
      <c r="B20" t="s">
        <v>12</v>
      </c>
      <c r="C20" t="s">
        <v>24</v>
      </c>
      <c r="D20" s="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Planilha1</vt:lpstr>
      <vt:lpstr>Planilha2</vt:lpstr>
      <vt:lpstr>aporte_mensal_calc_rapida</vt:lpstr>
      <vt:lpstr>aporte_mensal_carteira</vt:lpstr>
      <vt:lpstr>aporte_mensal_perfil_invest</vt:lpstr>
      <vt:lpstr>perfil_invest</vt:lpstr>
      <vt:lpstr>recomendacao_aporte</vt:lpstr>
      <vt:lpstr>rendimento_medio_carteira</vt:lpstr>
      <vt:lpstr>rendimento_mensal_calc_rapida</vt:lpstr>
      <vt:lpstr>salario</vt:lpstr>
      <vt:lpstr>tempo_de_invest_calc_rapida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Coimbra</dc:creator>
  <cp:lastModifiedBy>Gabriel Coimbra</cp:lastModifiedBy>
  <dcterms:created xsi:type="dcterms:W3CDTF">2026-10-02T18:19:22Z</dcterms:created>
  <dcterms:modified xsi:type="dcterms:W3CDTF">2026-10-21T14:14:46Z</dcterms:modified>
</cp:coreProperties>
</file>